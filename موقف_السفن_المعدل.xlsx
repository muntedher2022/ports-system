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OneDrive\Desktop\موقف السفن\"/>
    </mc:Choice>
  </mc:AlternateContent>
  <xr:revisionPtr revIDLastSave="0" documentId="13_ncr:1_{0199BA5D-04A2-4CC5-A2D9-8F14071D62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موقف حركة السف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1" l="1"/>
  <c r="G37" i="1"/>
  <c r="F37" i="1"/>
  <c r="D37" i="1"/>
  <c r="I37" i="1"/>
  <c r="J28" i="1"/>
  <c r="K28" i="1"/>
  <c r="J29" i="1"/>
  <c r="K29" i="1"/>
  <c r="J30" i="1"/>
  <c r="K30" i="1" s="1"/>
  <c r="J31" i="1"/>
  <c r="K31" i="1" s="1"/>
  <c r="J32" i="1"/>
  <c r="K32" i="1"/>
  <c r="J33" i="1"/>
  <c r="K33" i="1"/>
  <c r="J34" i="1"/>
  <c r="K34" i="1"/>
  <c r="J35" i="1"/>
  <c r="K35" i="1"/>
  <c r="J36" i="1"/>
  <c r="K36" i="1"/>
  <c r="C37" i="1"/>
  <c r="B37" i="1"/>
  <c r="H37" i="1"/>
  <c r="J8" i="1"/>
  <c r="K8" i="1" s="1"/>
  <c r="J9" i="1"/>
  <c r="K9" i="1"/>
  <c r="J10" i="1"/>
  <c r="K10" i="1" s="1"/>
  <c r="J11" i="1"/>
  <c r="K11" i="1" s="1"/>
  <c r="J12" i="1"/>
  <c r="K12" i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/>
  <c r="J19" i="1"/>
  <c r="K19" i="1"/>
  <c r="J20" i="1"/>
  <c r="K20" i="1" s="1"/>
  <c r="J21" i="1"/>
  <c r="K21" i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7" i="1"/>
  <c r="K7" i="1" s="1"/>
  <c r="J37" i="1" l="1"/>
  <c r="K37" i="1" l="1"/>
</calcChain>
</file>

<file path=xl/sharedStrings.xml><?xml version="1.0" encoding="utf-8"?>
<sst xmlns="http://schemas.openxmlformats.org/spreadsheetml/2006/main" count="16" uniqueCount="16">
  <si>
    <t>إحصائية حركة السفن اليومية (في الانتظار والراسية) في الموانئ العراقية</t>
  </si>
  <si>
    <t>التاريخ</t>
  </si>
  <si>
    <t>منطقة الانتظار
(مخطاف)</t>
  </si>
  <si>
    <t>عدد السفن الراسية في الموانئ والأرصفة</t>
  </si>
  <si>
    <t>إجمالي السفن
الراسية</t>
  </si>
  <si>
    <t>الموقف الإجمالي
(راسية + انتظار)</t>
  </si>
  <si>
    <t>أم قصر الشمالي
(UMQ-N)</t>
  </si>
  <si>
    <t>أم قصر الجنوبي
(UMQ-S)</t>
  </si>
  <si>
    <t>خور الزبير
(KZ)</t>
  </si>
  <si>
    <t>أبو فلوس
(ABF)</t>
  </si>
  <si>
    <t>رصيف الغاز
(LPG)</t>
  </si>
  <si>
    <t>مجموع فترات المكوث (سفينة/يوم)</t>
  </si>
  <si>
    <t>للفترة من 01/10/2026 لغاية 19/10/2026</t>
  </si>
  <si>
    <t>الميناء النفطي</t>
  </si>
  <si>
    <t>منطقة انتظار الميناء النفطي</t>
  </si>
  <si>
    <t>ملاحظة/ موقف السفن في منطقة الانتظار ابتدء من تاريح 13/10/2026 
موقف الميناء النفطي ابتدء من تاريخ 17/10/2026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</si>
</sst>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Arial"/>
      <family val="2"/>
      <scheme val="minor"/>
    </font>
    <font>
      <b/>
      <sz val="13"/>
      <color rgb="FF1B365D"/>
      <name val="Calibri"/>
    </font>
    <font>
      <b/>
      <sz val="11"/>
      <color rgb="FFFFFFFF"/>
      <name val="Calibri"/>
    </font>
    <font>
      <sz val="14"/>
      <color theme="1"/>
      <name val="Arial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335C67"/>
        <bgColor rgb="FF335C67"/>
      </patternFill>
    </fill>
    <fill>
      <patternFill patternType="solid">
        <fgColor rgb="FF24497D"/>
        <bgColor rgb="FF24497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E2E8F0"/>
        <bgColor rgb="FFE2E8F0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65D"/>
    <pageSetUpPr fitToPage="1"/>
  </sheetPr>
  <dimension ref="A2:K39"/>
  <sheetViews>
    <sheetView rightToLeft="1" tabSelected="1" topLeftCell="A23" workbookViewId="0">
      <selection activeCell="D30" sqref="D30"/>
    </sheetView>
  </sheetViews>
  <sheetFormatPr defaultRowHeight="13.8" x14ac:dyDescent="0.25"/>
  <cols>
    <col min="1" max="1" width="15" customWidth="1"/>
    <col min="2" max="11" width="11.5" customWidth="1"/>
  </cols>
  <sheetData>
    <row r="2" spans="1:11" ht="22.05" customHeight="1" x14ac:dyDescent="0.25">
      <c r="A2" s="7" t="s">
        <v>0</v>
      </c>
      <c r="B2" s="7"/>
      <c r="C2" s="7"/>
      <c r="D2" s="8"/>
      <c r="E2" s="8"/>
      <c r="F2" s="8"/>
      <c r="G2" s="8"/>
      <c r="H2" s="8"/>
      <c r="I2" s="8"/>
      <c r="J2" s="8"/>
      <c r="K2" s="8"/>
    </row>
    <row r="3" spans="1:11" ht="18" customHeight="1" x14ac:dyDescent="0.3">
      <c r="A3" s="19" t="s">
        <v>12</v>
      </c>
      <c r="B3" s="19"/>
      <c r="C3" s="19"/>
      <c r="D3" s="20"/>
      <c r="E3" s="20"/>
      <c r="F3" s="20"/>
      <c r="G3" s="20"/>
      <c r="H3" s="20"/>
      <c r="I3" s="20"/>
      <c r="J3" s="20"/>
      <c r="K3" s="20"/>
    </row>
    <row r="4" spans="1:11" ht="10.050000000000001" customHeight="1" x14ac:dyDescent="0.25"/>
    <row r="5" spans="1:11" ht="22.05" customHeight="1" x14ac:dyDescent="0.25">
      <c r="A5" s="9" t="s">
        <v>1</v>
      </c>
      <c r="B5" s="11" t="s">
        <v>14</v>
      </c>
      <c r="C5" s="12" t="s">
        <v>13</v>
      </c>
      <c r="D5" s="11" t="s">
        <v>2</v>
      </c>
      <c r="E5" s="16" t="s">
        <v>3</v>
      </c>
      <c r="F5" s="17"/>
      <c r="G5" s="17"/>
      <c r="H5" s="17"/>
      <c r="I5" s="18"/>
      <c r="J5" s="9" t="s">
        <v>4</v>
      </c>
      <c r="K5" s="9" t="s">
        <v>5</v>
      </c>
    </row>
    <row r="6" spans="1:11" ht="28.05" customHeight="1" x14ac:dyDescent="0.25">
      <c r="A6" s="10"/>
      <c r="B6" s="10"/>
      <c r="C6" s="13"/>
      <c r="D6" s="10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0"/>
      <c r="K6" s="10"/>
    </row>
    <row r="7" spans="1:11" ht="19.95" customHeight="1" x14ac:dyDescent="0.25">
      <c r="A7" s="5">
        <v>46296</v>
      </c>
      <c r="B7" s="2">
        <v>0</v>
      </c>
      <c r="C7" s="2">
        <v>0</v>
      </c>
      <c r="D7" s="2">
        <v>0</v>
      </c>
      <c r="E7" s="2">
        <v>8</v>
      </c>
      <c r="F7" s="2">
        <v>4</v>
      </c>
      <c r="G7" s="2">
        <v>10</v>
      </c>
      <c r="H7" s="2">
        <v>0</v>
      </c>
      <c r="I7" s="2">
        <v>1</v>
      </c>
      <c r="J7" s="2">
        <f t="shared" ref="J7" si="0">SUM(E7:I7)</f>
        <v>23</v>
      </c>
      <c r="K7" s="2">
        <f t="shared" ref="K7" si="1">SUM(D7,J7)</f>
        <v>23</v>
      </c>
    </row>
    <row r="8" spans="1:11" ht="19.95" customHeight="1" x14ac:dyDescent="0.25">
      <c r="A8" s="6">
        <v>46297</v>
      </c>
      <c r="B8" s="3">
        <v>0</v>
      </c>
      <c r="C8" s="3">
        <v>0</v>
      </c>
      <c r="D8" s="3">
        <v>0</v>
      </c>
      <c r="E8" s="3">
        <v>8</v>
      </c>
      <c r="F8" s="3">
        <v>5</v>
      </c>
      <c r="G8" s="3">
        <v>8</v>
      </c>
      <c r="H8" s="3">
        <v>0</v>
      </c>
      <c r="I8" s="3">
        <v>1</v>
      </c>
      <c r="J8" s="2">
        <f t="shared" ref="J8:J27" si="2">SUM(E8:I8)</f>
        <v>22</v>
      </c>
      <c r="K8" s="2">
        <f t="shared" ref="K8:K27" si="3">SUM(D8,J8)</f>
        <v>22</v>
      </c>
    </row>
    <row r="9" spans="1:11" ht="19.95" customHeight="1" x14ac:dyDescent="0.25">
      <c r="A9" s="5">
        <v>46298</v>
      </c>
      <c r="B9" s="2">
        <v>0</v>
      </c>
      <c r="C9" s="2">
        <v>0</v>
      </c>
      <c r="D9" s="2">
        <v>0</v>
      </c>
      <c r="E9" s="2">
        <v>9</v>
      </c>
      <c r="F9" s="2">
        <v>1</v>
      </c>
      <c r="G9" s="2">
        <v>7</v>
      </c>
      <c r="H9" s="2">
        <v>0</v>
      </c>
      <c r="I9" s="2">
        <v>0</v>
      </c>
      <c r="J9" s="2">
        <f t="shared" si="2"/>
        <v>17</v>
      </c>
      <c r="K9" s="2">
        <f t="shared" si="3"/>
        <v>17</v>
      </c>
    </row>
    <row r="10" spans="1:11" ht="19.95" customHeight="1" x14ac:dyDescent="0.25">
      <c r="A10" s="6">
        <v>46299</v>
      </c>
      <c r="B10" s="3">
        <v>0</v>
      </c>
      <c r="C10" s="3">
        <v>0</v>
      </c>
      <c r="D10" s="3">
        <v>0</v>
      </c>
      <c r="E10" s="3">
        <v>10</v>
      </c>
      <c r="F10" s="3">
        <v>0</v>
      </c>
      <c r="G10" s="3">
        <v>8</v>
      </c>
      <c r="H10" s="3">
        <v>0</v>
      </c>
      <c r="I10" s="3">
        <v>0</v>
      </c>
      <c r="J10" s="2">
        <f t="shared" si="2"/>
        <v>18</v>
      </c>
      <c r="K10" s="2">
        <f t="shared" si="3"/>
        <v>18</v>
      </c>
    </row>
    <row r="11" spans="1:11" ht="19.95" customHeight="1" x14ac:dyDescent="0.25">
      <c r="A11" s="5">
        <v>46300</v>
      </c>
      <c r="B11" s="2">
        <v>0</v>
      </c>
      <c r="C11" s="2">
        <v>0</v>
      </c>
      <c r="D11" s="2">
        <v>0</v>
      </c>
      <c r="E11" s="2">
        <v>10</v>
      </c>
      <c r="F11" s="2">
        <v>0</v>
      </c>
      <c r="G11" s="2">
        <v>7</v>
      </c>
      <c r="H11" s="2">
        <v>0</v>
      </c>
      <c r="I11" s="2">
        <v>0</v>
      </c>
      <c r="J11" s="2">
        <f t="shared" si="2"/>
        <v>17</v>
      </c>
      <c r="K11" s="2">
        <f t="shared" si="3"/>
        <v>17</v>
      </c>
    </row>
    <row r="12" spans="1:11" ht="19.95" customHeight="1" x14ac:dyDescent="0.25">
      <c r="A12" s="6">
        <v>46301</v>
      </c>
      <c r="B12" s="3">
        <v>0</v>
      </c>
      <c r="C12" s="3">
        <v>0</v>
      </c>
      <c r="D12" s="3">
        <v>0</v>
      </c>
      <c r="E12" s="3">
        <v>12</v>
      </c>
      <c r="F12" s="3">
        <v>5</v>
      </c>
      <c r="G12" s="3">
        <v>11</v>
      </c>
      <c r="H12" s="3">
        <v>0</v>
      </c>
      <c r="I12" s="3">
        <v>1</v>
      </c>
      <c r="J12" s="2">
        <f t="shared" si="2"/>
        <v>29</v>
      </c>
      <c r="K12" s="2">
        <f t="shared" si="3"/>
        <v>29</v>
      </c>
    </row>
    <row r="13" spans="1:11" ht="19.95" customHeight="1" x14ac:dyDescent="0.25">
      <c r="A13" s="5">
        <v>46302</v>
      </c>
      <c r="B13" s="2">
        <v>0</v>
      </c>
      <c r="C13" s="2">
        <v>0</v>
      </c>
      <c r="D13" s="2">
        <v>0</v>
      </c>
      <c r="E13" s="2">
        <v>10</v>
      </c>
      <c r="F13" s="2">
        <v>1</v>
      </c>
      <c r="G13" s="2">
        <v>11</v>
      </c>
      <c r="H13" s="2">
        <v>0</v>
      </c>
      <c r="I13" s="2">
        <v>1</v>
      </c>
      <c r="J13" s="2">
        <f t="shared" si="2"/>
        <v>23</v>
      </c>
      <c r="K13" s="2">
        <f t="shared" si="3"/>
        <v>23</v>
      </c>
    </row>
    <row r="14" spans="1:11" ht="19.95" customHeight="1" x14ac:dyDescent="0.25">
      <c r="A14" s="6">
        <v>46303</v>
      </c>
      <c r="B14" s="3">
        <v>0</v>
      </c>
      <c r="C14" s="3">
        <v>0</v>
      </c>
      <c r="D14" s="3">
        <v>0</v>
      </c>
      <c r="E14" s="3">
        <v>11</v>
      </c>
      <c r="F14" s="3">
        <v>2</v>
      </c>
      <c r="G14" s="3">
        <v>10</v>
      </c>
      <c r="H14" s="3">
        <v>0</v>
      </c>
      <c r="I14" s="3">
        <v>1</v>
      </c>
      <c r="J14" s="2">
        <f t="shared" si="2"/>
        <v>24</v>
      </c>
      <c r="K14" s="2">
        <f t="shared" si="3"/>
        <v>24</v>
      </c>
    </row>
    <row r="15" spans="1:11" ht="19.95" customHeight="1" x14ac:dyDescent="0.25">
      <c r="A15" s="5">
        <v>46304</v>
      </c>
      <c r="B15" s="2">
        <v>0</v>
      </c>
      <c r="C15" s="2">
        <v>0</v>
      </c>
      <c r="D15" s="2">
        <v>0</v>
      </c>
      <c r="E15" s="2">
        <v>9</v>
      </c>
      <c r="F15" s="2">
        <v>2</v>
      </c>
      <c r="G15" s="2">
        <v>8</v>
      </c>
      <c r="H15" s="2">
        <v>0</v>
      </c>
      <c r="I15" s="2">
        <v>1</v>
      </c>
      <c r="J15" s="2">
        <f t="shared" si="2"/>
        <v>20</v>
      </c>
      <c r="K15" s="2">
        <f t="shared" si="3"/>
        <v>20</v>
      </c>
    </row>
    <row r="16" spans="1:11" ht="19.95" customHeight="1" x14ac:dyDescent="0.25">
      <c r="A16" s="6">
        <v>46305</v>
      </c>
      <c r="B16" s="3">
        <v>0</v>
      </c>
      <c r="C16" s="3">
        <v>0</v>
      </c>
      <c r="D16" s="3">
        <v>0</v>
      </c>
      <c r="E16" s="3">
        <v>15</v>
      </c>
      <c r="F16" s="3">
        <v>1</v>
      </c>
      <c r="G16" s="3">
        <v>10</v>
      </c>
      <c r="H16" s="3">
        <v>0</v>
      </c>
      <c r="I16" s="3">
        <v>0</v>
      </c>
      <c r="J16" s="2">
        <f t="shared" si="2"/>
        <v>26</v>
      </c>
      <c r="K16" s="2">
        <f t="shared" si="3"/>
        <v>26</v>
      </c>
    </row>
    <row r="17" spans="1:11" ht="19.95" customHeight="1" x14ac:dyDescent="0.25">
      <c r="A17" s="5">
        <v>46306</v>
      </c>
      <c r="B17" s="2">
        <v>0</v>
      </c>
      <c r="C17" s="2">
        <v>0</v>
      </c>
      <c r="D17" s="2">
        <v>0</v>
      </c>
      <c r="E17" s="2">
        <v>15</v>
      </c>
      <c r="F17" s="2">
        <v>1</v>
      </c>
      <c r="G17" s="2">
        <v>9</v>
      </c>
      <c r="H17" s="2">
        <v>0</v>
      </c>
      <c r="I17" s="2">
        <v>0</v>
      </c>
      <c r="J17" s="2">
        <f t="shared" si="2"/>
        <v>25</v>
      </c>
      <c r="K17" s="2">
        <f t="shared" si="3"/>
        <v>25</v>
      </c>
    </row>
    <row r="18" spans="1:11" ht="19.95" customHeight="1" x14ac:dyDescent="0.25">
      <c r="A18" s="6">
        <v>46307</v>
      </c>
      <c r="B18" s="3">
        <v>0</v>
      </c>
      <c r="C18" s="3">
        <v>0</v>
      </c>
      <c r="D18" s="3">
        <v>0</v>
      </c>
      <c r="E18" s="3">
        <v>15</v>
      </c>
      <c r="F18" s="3">
        <v>2</v>
      </c>
      <c r="G18" s="3">
        <v>8</v>
      </c>
      <c r="H18" s="3">
        <v>0</v>
      </c>
      <c r="I18" s="3">
        <v>0</v>
      </c>
      <c r="J18" s="2">
        <f t="shared" si="2"/>
        <v>25</v>
      </c>
      <c r="K18" s="2">
        <f t="shared" si="3"/>
        <v>25</v>
      </c>
    </row>
    <row r="19" spans="1:11" ht="19.95" customHeight="1" x14ac:dyDescent="0.25">
      <c r="A19" s="5">
        <v>46308</v>
      </c>
      <c r="B19" s="2">
        <v>0</v>
      </c>
      <c r="C19" s="2">
        <v>0</v>
      </c>
      <c r="D19" s="2">
        <v>3</v>
      </c>
      <c r="E19" s="2">
        <v>15</v>
      </c>
      <c r="F19" s="2">
        <v>3</v>
      </c>
      <c r="G19" s="2">
        <v>9</v>
      </c>
      <c r="H19" s="2">
        <v>0</v>
      </c>
      <c r="I19" s="2">
        <v>0</v>
      </c>
      <c r="J19" s="2">
        <f t="shared" si="2"/>
        <v>27</v>
      </c>
      <c r="K19" s="2">
        <f t="shared" si="3"/>
        <v>30</v>
      </c>
    </row>
    <row r="20" spans="1:11" ht="19.95" customHeight="1" x14ac:dyDescent="0.25">
      <c r="A20" s="6">
        <v>46309</v>
      </c>
      <c r="B20" s="3">
        <v>0</v>
      </c>
      <c r="C20" s="3">
        <v>0</v>
      </c>
      <c r="D20" s="3">
        <v>3</v>
      </c>
      <c r="E20" s="3">
        <v>13</v>
      </c>
      <c r="F20" s="3">
        <v>3</v>
      </c>
      <c r="G20" s="3">
        <v>9</v>
      </c>
      <c r="H20" s="3">
        <v>0</v>
      </c>
      <c r="I20" s="3">
        <v>0</v>
      </c>
      <c r="J20" s="2">
        <f t="shared" si="2"/>
        <v>25</v>
      </c>
      <c r="K20" s="2">
        <f t="shared" si="3"/>
        <v>28</v>
      </c>
    </row>
    <row r="21" spans="1:11" ht="19.95" customHeight="1" x14ac:dyDescent="0.25">
      <c r="A21" s="5">
        <v>46310</v>
      </c>
      <c r="B21" s="2">
        <v>0</v>
      </c>
      <c r="C21" s="2">
        <v>0</v>
      </c>
      <c r="D21" s="2">
        <v>3</v>
      </c>
      <c r="E21" s="2">
        <v>13</v>
      </c>
      <c r="F21" s="2">
        <v>4</v>
      </c>
      <c r="G21" s="2">
        <v>8</v>
      </c>
      <c r="H21" s="2">
        <v>1</v>
      </c>
      <c r="I21" s="2">
        <v>0</v>
      </c>
      <c r="J21" s="2">
        <f t="shared" si="2"/>
        <v>26</v>
      </c>
      <c r="K21" s="2">
        <f t="shared" si="3"/>
        <v>29</v>
      </c>
    </row>
    <row r="22" spans="1:11" ht="19.95" customHeight="1" x14ac:dyDescent="0.25">
      <c r="A22" s="6">
        <v>46311</v>
      </c>
      <c r="B22" s="3">
        <v>0</v>
      </c>
      <c r="C22" s="3">
        <v>0</v>
      </c>
      <c r="D22" s="3">
        <v>3</v>
      </c>
      <c r="E22" s="3">
        <v>16</v>
      </c>
      <c r="F22" s="3">
        <v>3</v>
      </c>
      <c r="G22" s="3">
        <v>7</v>
      </c>
      <c r="H22" s="3">
        <v>1</v>
      </c>
      <c r="I22" s="3">
        <v>0</v>
      </c>
      <c r="J22" s="2">
        <f t="shared" si="2"/>
        <v>27</v>
      </c>
      <c r="K22" s="2">
        <f t="shared" si="3"/>
        <v>30</v>
      </c>
    </row>
    <row r="23" spans="1:11" ht="19.95" customHeight="1" x14ac:dyDescent="0.25">
      <c r="A23" s="5">
        <v>46312</v>
      </c>
      <c r="B23" s="2">
        <v>5</v>
      </c>
      <c r="C23" s="2">
        <v>5</v>
      </c>
      <c r="D23" s="2">
        <v>4</v>
      </c>
      <c r="E23" s="2">
        <v>17</v>
      </c>
      <c r="F23" s="2">
        <v>1</v>
      </c>
      <c r="G23" s="2">
        <v>6</v>
      </c>
      <c r="H23" s="2">
        <v>3</v>
      </c>
      <c r="I23" s="2">
        <v>0</v>
      </c>
      <c r="J23" s="2">
        <f t="shared" si="2"/>
        <v>27</v>
      </c>
      <c r="K23" s="2">
        <f t="shared" si="3"/>
        <v>31</v>
      </c>
    </row>
    <row r="24" spans="1:11" ht="19.95" customHeight="1" x14ac:dyDescent="0.25">
      <c r="A24" s="6">
        <v>46313</v>
      </c>
      <c r="B24" s="3">
        <v>2</v>
      </c>
      <c r="C24" s="3">
        <v>7</v>
      </c>
      <c r="D24" s="3">
        <v>6</v>
      </c>
      <c r="E24" s="3">
        <v>11</v>
      </c>
      <c r="F24" s="3">
        <v>3</v>
      </c>
      <c r="G24" s="3">
        <v>7</v>
      </c>
      <c r="H24" s="3">
        <v>3</v>
      </c>
      <c r="I24" s="3">
        <v>0</v>
      </c>
      <c r="J24" s="2">
        <f t="shared" si="2"/>
        <v>24</v>
      </c>
      <c r="K24" s="2">
        <f t="shared" si="3"/>
        <v>30</v>
      </c>
    </row>
    <row r="25" spans="1:11" ht="19.95" customHeight="1" x14ac:dyDescent="0.25">
      <c r="A25" s="5">
        <v>46314</v>
      </c>
      <c r="B25" s="2">
        <v>1</v>
      </c>
      <c r="C25" s="2">
        <v>6</v>
      </c>
      <c r="D25" s="2">
        <v>4</v>
      </c>
      <c r="E25" s="2">
        <v>15</v>
      </c>
      <c r="F25" s="2">
        <v>1</v>
      </c>
      <c r="G25" s="2">
        <v>9</v>
      </c>
      <c r="H25" s="2">
        <v>2</v>
      </c>
      <c r="I25" s="2">
        <v>0</v>
      </c>
      <c r="J25" s="2">
        <f t="shared" si="2"/>
        <v>27</v>
      </c>
      <c r="K25" s="2">
        <f t="shared" si="3"/>
        <v>31</v>
      </c>
    </row>
    <row r="26" spans="1:11" ht="19.95" customHeight="1" x14ac:dyDescent="0.25">
      <c r="A26" s="6">
        <v>46315</v>
      </c>
      <c r="B26" s="2">
        <v>3</v>
      </c>
      <c r="C26" s="2">
        <v>5</v>
      </c>
      <c r="D26" s="2">
        <v>7</v>
      </c>
      <c r="E26" s="2">
        <v>13</v>
      </c>
      <c r="F26" s="2">
        <v>1</v>
      </c>
      <c r="G26" s="2">
        <v>11</v>
      </c>
      <c r="H26" s="2">
        <v>2</v>
      </c>
      <c r="I26" s="2">
        <v>0</v>
      </c>
      <c r="J26" s="2">
        <f t="shared" si="2"/>
        <v>27</v>
      </c>
      <c r="K26" s="2">
        <f t="shared" si="3"/>
        <v>34</v>
      </c>
    </row>
    <row r="27" spans="1:11" ht="19.95" customHeight="1" x14ac:dyDescent="0.25">
      <c r="A27" s="5">
        <v>46316</v>
      </c>
      <c r="B27" s="2">
        <v>1</v>
      </c>
      <c r="C27" s="2">
        <v>7</v>
      </c>
      <c r="D27" s="2">
        <v>5</v>
      </c>
      <c r="E27" s="2">
        <v>9</v>
      </c>
      <c r="F27" s="2">
        <v>1</v>
      </c>
      <c r="G27" s="2">
        <v>12</v>
      </c>
      <c r="H27" s="2"/>
      <c r="I27" s="2">
        <v>0</v>
      </c>
      <c r="J27" s="2">
        <f t="shared" si="2"/>
        <v>22</v>
      </c>
      <c r="K27" s="2">
        <f t="shared" si="3"/>
        <v>27</v>
      </c>
    </row>
    <row r="28" spans="1:11" ht="19.95" customHeight="1" x14ac:dyDescent="0.25">
      <c r="A28" s="5">
        <v>46317</v>
      </c>
      <c r="B28" s="2">
        <v>3</v>
      </c>
      <c r="C28" s="2">
        <v>5</v>
      </c>
      <c r="D28" s="2">
        <v>5</v>
      </c>
      <c r="E28" s="2">
        <v>13</v>
      </c>
      <c r="F28" s="2">
        <v>1</v>
      </c>
      <c r="G28" s="2">
        <v>9</v>
      </c>
      <c r="H28" s="2"/>
      <c r="I28" s="2">
        <v>0</v>
      </c>
      <c r="J28" s="2">
        <f t="shared" ref="J28:J36" si="4">SUM(E28:I28)</f>
        <v>23</v>
      </c>
      <c r="K28" s="2">
        <f t="shared" ref="K28:K36" si="5">SUM(D28,J28)</f>
        <v>28</v>
      </c>
    </row>
    <row r="29" spans="1:11" ht="19.95" customHeight="1" x14ac:dyDescent="0.25">
      <c r="A29" s="5">
        <v>46318</v>
      </c>
      <c r="B29" s="2">
        <v>2</v>
      </c>
      <c r="C29" s="2">
        <v>5</v>
      </c>
      <c r="D29" s="2">
        <v>7</v>
      </c>
      <c r="E29" s="2"/>
      <c r="F29" s="2">
        <v>2</v>
      </c>
      <c r="G29" s="2">
        <v>9</v>
      </c>
      <c r="H29" s="2"/>
      <c r="I29" s="2">
        <v>1</v>
      </c>
      <c r="J29" s="2">
        <f t="shared" si="4"/>
        <v>12</v>
      </c>
      <c r="K29" s="2">
        <f t="shared" si="5"/>
        <v>19</v>
      </c>
    </row>
    <row r="30" spans="1:11" ht="19.95" customHeight="1" x14ac:dyDescent="0.25">
      <c r="A30" s="5">
        <v>46319</v>
      </c>
      <c r="B30" s="2">
        <v>5</v>
      </c>
      <c r="C30" s="2">
        <v>4</v>
      </c>
      <c r="D30" s="2">
        <v>6</v>
      </c>
      <c r="E30" s="2">
        <v>13</v>
      </c>
      <c r="F30" s="2">
        <v>4</v>
      </c>
      <c r="G30" s="2">
        <v>4</v>
      </c>
      <c r="H30" s="2"/>
      <c r="I30" s="2">
        <v>0</v>
      </c>
      <c r="J30" s="2">
        <f t="shared" si="4"/>
        <v>21</v>
      </c>
      <c r="K30" s="2">
        <f t="shared" si="5"/>
        <v>27</v>
      </c>
    </row>
    <row r="31" spans="1:11" ht="19.95" customHeight="1" x14ac:dyDescent="0.25">
      <c r="A31" s="5">
        <v>46320</v>
      </c>
      <c r="B31" s="2"/>
      <c r="C31" s="2"/>
      <c r="D31" s="2"/>
      <c r="E31" s="2"/>
      <c r="F31" s="2">
        <v>1</v>
      </c>
      <c r="G31" s="2">
        <v>6</v>
      </c>
      <c r="H31" s="2"/>
      <c r="I31" s="2"/>
      <c r="J31" s="2">
        <f t="shared" si="4"/>
        <v>7</v>
      </c>
      <c r="K31" s="2">
        <f t="shared" si="5"/>
        <v>7</v>
      </c>
    </row>
    <row r="32" spans="1:11" ht="19.95" customHeight="1" x14ac:dyDescent="0.25">
      <c r="A32" s="5">
        <v>46321</v>
      </c>
      <c r="B32" s="2"/>
      <c r="C32" s="2"/>
      <c r="D32" s="2"/>
      <c r="E32" s="2"/>
      <c r="F32" s="2"/>
      <c r="G32" s="2"/>
      <c r="H32" s="2"/>
      <c r="I32" s="2"/>
      <c r="J32" s="2">
        <f t="shared" si="4"/>
        <v>0</v>
      </c>
      <c r="K32" s="2">
        <f t="shared" si="5"/>
        <v>0</v>
      </c>
    </row>
    <row r="33" spans="1:11" ht="19.95" customHeight="1" x14ac:dyDescent="0.25">
      <c r="A33" s="5">
        <v>46322</v>
      </c>
      <c r="B33" s="2"/>
      <c r="C33" s="2"/>
      <c r="D33" s="2"/>
      <c r="E33" s="2"/>
      <c r="F33" s="2"/>
      <c r="G33" s="2"/>
      <c r="H33" s="2"/>
      <c r="I33" s="2"/>
      <c r="J33" s="2">
        <f t="shared" si="4"/>
        <v>0</v>
      </c>
      <c r="K33" s="2">
        <f t="shared" si="5"/>
        <v>0</v>
      </c>
    </row>
    <row r="34" spans="1:11" ht="19.95" customHeight="1" x14ac:dyDescent="0.25">
      <c r="A34" s="5">
        <v>46323</v>
      </c>
      <c r="B34" s="2"/>
      <c r="C34" s="2"/>
      <c r="D34" s="2"/>
      <c r="E34" s="2"/>
      <c r="F34" s="2"/>
      <c r="G34" s="2"/>
      <c r="H34" s="2"/>
      <c r="I34" s="2"/>
      <c r="J34" s="2">
        <f t="shared" si="4"/>
        <v>0</v>
      </c>
      <c r="K34" s="2">
        <f t="shared" si="5"/>
        <v>0</v>
      </c>
    </row>
    <row r="35" spans="1:11" ht="19.95" customHeight="1" x14ac:dyDescent="0.25">
      <c r="A35" s="5">
        <v>46324</v>
      </c>
      <c r="B35" s="2"/>
      <c r="C35" s="2"/>
      <c r="D35" s="2"/>
      <c r="E35" s="2"/>
      <c r="F35" s="2"/>
      <c r="G35" s="2"/>
      <c r="H35" s="2"/>
      <c r="I35" s="2"/>
      <c r="J35" s="2">
        <f t="shared" si="4"/>
        <v>0</v>
      </c>
      <c r="K35" s="2">
        <f t="shared" si="5"/>
        <v>0</v>
      </c>
    </row>
    <row r="36" spans="1:11" ht="19.95" customHeight="1" x14ac:dyDescent="0.25">
      <c r="A36" s="5">
        <v>46325</v>
      </c>
      <c r="B36" s="2"/>
      <c r="C36" s="2"/>
      <c r="D36" s="2"/>
      <c r="E36" s="2"/>
      <c r="F36" s="2"/>
      <c r="G36" s="2"/>
      <c r="H36" s="2"/>
      <c r="I36" s="2"/>
      <c r="J36" s="2">
        <f t="shared" si="4"/>
        <v>0</v>
      </c>
      <c r="K36" s="2">
        <f t="shared" si="5"/>
        <v>0</v>
      </c>
    </row>
    <row r="37" spans="1:11" ht="28.8" x14ac:dyDescent="0.25">
      <c r="A37" s="4" t="s">
        <v>11</v>
      </c>
      <c r="B37" s="4">
        <f>SUM(B7:B27)</f>
        <v>12</v>
      </c>
      <c r="C37" s="4">
        <f>SUM(C7:C27)</f>
        <v>30</v>
      </c>
      <c r="D37" s="4">
        <f>SUM(D7:D30)</f>
        <v>56</v>
      </c>
      <c r="E37" s="4">
        <f>SUM(E7:E28)</f>
        <v>267</v>
      </c>
      <c r="F37" s="4">
        <f>SUM(F7:F31)</f>
        <v>52</v>
      </c>
      <c r="G37" s="4">
        <f>SUM(G7:G31)</f>
        <v>213</v>
      </c>
      <c r="H37" s="4">
        <f>SUM(H7:H26)</f>
        <v>12</v>
      </c>
      <c r="I37" s="4">
        <f>SUM(I7:I30)</f>
        <v>7</v>
      </c>
      <c r="J37" s="4">
        <f t="shared" ref="J37:K37" si="6">SUM(J7:J25)</f>
        <v>452</v>
      </c>
      <c r="K37" s="4">
        <f t="shared" si="6"/>
        <v>478</v>
      </c>
    </row>
    <row r="39" spans="1:11" ht="28.2" customHeight="1" x14ac:dyDescent="0.25">
      <c r="A39" s="14" t="s">
        <v>15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</row>
  </sheetData>
  <mergeCells count="10">
    <mergeCell ref="A39:K39"/>
    <mergeCell ref="E5:I5"/>
    <mergeCell ref="A3:K3"/>
    <mergeCell ref="J5:J6"/>
    <mergeCell ref="K5:K6"/>
    <mergeCell ref="A2:K2"/>
    <mergeCell ref="A5:A6"/>
    <mergeCell ref="D5:D6"/>
    <mergeCell ref="B5:B6"/>
    <mergeCell ref="C5:C6"/>
  </mergeCells>
  <pageMargins left="0.33" right="0.28000000000000003" top="0.18" bottom="0.19" header="0.25" footer="0.2"/>
  <pageSetup paperSize="9" fitToHeight="0" orientation="landscape" r:id="rId1"/>
  <ignoredErrors>
    <ignoredError sqref="J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موقف حركة السفن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Muntedher MRM</cp:lastModifiedBy>
  <cp:lastPrinted>2026-10-20T05:28:04Z</cp:lastPrinted>
  <dcterms:created xsi:type="dcterms:W3CDTF">2026-10-19T08:08:39Z</dcterms:created>
  <dcterms:modified xsi:type="dcterms:W3CDTF">2026-10-25T10:06:43Z</dcterms:modified>
</cp:coreProperties>
</file>